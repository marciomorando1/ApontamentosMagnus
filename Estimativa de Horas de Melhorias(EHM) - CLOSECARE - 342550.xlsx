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500" firstSheet="1" activeTab="1"/>
  </bookViews>
  <sheets>
    <sheet name="Definições" sheetId="1" state="hidden" r:id="rId1"/>
    <sheet name="Escopo Área de Serviç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<sst xmlns="http://schemas.openxmlformats.org/spreadsheetml/2006/main" count="114" uniqueCount="96">
  <si>
    <t>Horas Gerenciamento</t>
  </si>
  <si>
    <t>% Gerenciameto Melhorias</t>
  </si>
  <si>
    <t>Tipo Serviço</t>
  </si>
  <si>
    <t>Sistema</t>
  </si>
  <si>
    <t>Modulos</t>
  </si>
  <si>
    <t>Recurso</t>
  </si>
  <si>
    <t>Valor Hora</t>
  </si>
  <si>
    <t>Forma de Trabalho</t>
  </si>
  <si>
    <t>ETN</t>
  </si>
  <si>
    <t>Sim</t>
  </si>
  <si>
    <t>Implantação Padrão</t>
  </si>
  <si>
    <t>HCM</t>
  </si>
  <si>
    <t>HCM - Gestão de Pessoas</t>
  </si>
  <si>
    <t>AP - Administração de Pessoal</t>
  </si>
  <si>
    <t>Consultoria de Implantação</t>
  </si>
  <si>
    <t>Presencial</t>
  </si>
  <si>
    <t>Bruno Ribeiro dos Santos</t>
  </si>
  <si>
    <t>Não</t>
  </si>
  <si>
    <t>Implantação Assistida</t>
  </si>
  <si>
    <t>ERP</t>
  </si>
  <si>
    <t>ERP - Gestão Empresarial</t>
  </si>
  <si>
    <t>CP - Controle do Ponto</t>
  </si>
  <si>
    <t>Gerente de Projetos</t>
  </si>
  <si>
    <t>Remoto</t>
  </si>
  <si>
    <t>Maximiliano Bail</t>
  </si>
  <si>
    <t>Melhoria/Customização</t>
  </si>
  <si>
    <t>GP - Gestão do Ponto</t>
  </si>
  <si>
    <t>Desenvolvedor</t>
  </si>
  <si>
    <t>Hibrido</t>
  </si>
  <si>
    <t>William Ranieri Perini</t>
  </si>
  <si>
    <t>Migração de Dados</t>
  </si>
  <si>
    <t>Ponto Mobile</t>
  </si>
  <si>
    <t>Analista de Infraestrutura</t>
  </si>
  <si>
    <t xml:space="preserve">Rubens Sergio </t>
  </si>
  <si>
    <t>Consultoria de Negócio</t>
  </si>
  <si>
    <t>Ponto Online</t>
  </si>
  <si>
    <t>Consultoria Especializada</t>
  </si>
  <si>
    <t>Treinamento</t>
  </si>
  <si>
    <t>BS - Benefícios</t>
  </si>
  <si>
    <t>Análise da Demanda</t>
  </si>
  <si>
    <t>S - Segurança</t>
  </si>
  <si>
    <t>M - Medicina</t>
  </si>
  <si>
    <t>QL - Quadro de Vagas</t>
  </si>
  <si>
    <t>OR - Orçamento</t>
  </si>
  <si>
    <t>TR - Treinamento</t>
  </si>
  <si>
    <t>JR - Jurídico</t>
  </si>
  <si>
    <t>RS - Recrutamento e Seleção</t>
  </si>
  <si>
    <t>CS - Cargos e Salários</t>
  </si>
  <si>
    <t>PG - Painel de Gestão</t>
  </si>
  <si>
    <t>Colabbe - Admissão Digital</t>
  </si>
  <si>
    <t>Bot Factory</t>
  </si>
  <si>
    <t>SING</t>
  </si>
  <si>
    <t>BPM</t>
  </si>
  <si>
    <t>Gestão de Carreira e Sucessão</t>
  </si>
  <si>
    <t>Gestão de Remuneração</t>
  </si>
  <si>
    <t>Gestão de Desempenho</t>
  </si>
  <si>
    <t>ATS - Recrutamento e Seleção</t>
  </si>
  <si>
    <t>Integrador SST</t>
  </si>
  <si>
    <t>GED</t>
  </si>
  <si>
    <t>Outros</t>
  </si>
  <si>
    <t>EHM - Estimativa de Horas de Melhorias/Desenvolvimento</t>
  </si>
  <si>
    <t xml:space="preserve">Cliente: </t>
  </si>
  <si>
    <t>Solicitante:</t>
  </si>
  <si>
    <t>Jociel Adachi</t>
  </si>
  <si>
    <t>ETN:</t>
  </si>
  <si>
    <t>Projeto:</t>
  </si>
  <si>
    <t>Chamado  342550</t>
  </si>
  <si>
    <t xml:space="preserve">Sistema: </t>
  </si>
  <si>
    <t xml:space="preserve">Forma de Trabalho: </t>
  </si>
  <si>
    <t xml:space="preserve">Tipo Serviço: </t>
  </si>
  <si>
    <t>Tempo de Análise:</t>
  </si>
  <si>
    <t xml:space="preserve">Gerenciar Projeto: </t>
  </si>
  <si>
    <t xml:space="preserve">% Gerenciamento: </t>
  </si>
  <si>
    <t>Contigenciamento</t>
  </si>
  <si>
    <t xml:space="preserve">Horas Consultor: </t>
  </si>
  <si>
    <t xml:space="preserve">Horas Gerenciamento: </t>
  </si>
  <si>
    <t>Totais do EHM</t>
  </si>
  <si>
    <t xml:space="preserve">Total de Horas: </t>
  </si>
  <si>
    <t>Valor Proposta:</t>
  </si>
  <si>
    <t>Valor Proposta S/ Análise:</t>
  </si>
  <si>
    <t>Horas</t>
  </si>
  <si>
    <t>Valor Total</t>
  </si>
  <si>
    <t>Solicitação</t>
  </si>
  <si>
    <r>
      <rPr>
        <b/>
        <sz val="11"/>
        <color theme="1"/>
        <rFont val="Calibri"/>
        <charset val="1"/>
      </rPr>
      <t>Objetivo</t>
    </r>
    <r>
      <rPr>
        <sz val="11"/>
        <color theme="1"/>
        <rFont val="Calibri"/>
        <charset val="1"/>
      </rPr>
      <t>: 
Nome da atividade do chamado – detalhamento da atividade do chamado</t>
    </r>
  </si>
  <si>
    <t>Pré requisitos</t>
  </si>
  <si>
    <r>
      <rPr>
        <b/>
        <sz val="11"/>
        <color theme="1"/>
        <rFont val="Calibri"/>
        <charset val="1"/>
      </rPr>
      <t xml:space="preserve">Requisitos Gerais:
</t>
    </r>
    <r>
      <rPr>
        <sz val="11"/>
        <color theme="1"/>
        <rFont val="Calibri"/>
        <charset val="1"/>
      </rPr>
      <t xml:space="preserve">• Módulo Administração de Pessoal instalado no ambiente de Produção e Homologação do cliente;
• Liberação de acesso aos ambientes para o desenvolvedor/consultor responsável.
• Conexão via WTS, pois por conexão via Teamviewer fica lento para a implantação;
• O sistema precisa estar atualizado para a versão mais recente;
</t>
    </r>
  </si>
  <si>
    <t>Itens Fora do Escopo</t>
  </si>
  <si>
    <r>
      <rPr>
        <sz val="11"/>
        <color theme="1"/>
        <rFont val="Calibri"/>
        <charset val="1"/>
      </rPr>
      <t xml:space="preserve">• Cadastramento/Importação de dados para os módulos;
• Desenvolvimento de telas customizadas que não previstas em escopo;
• Desenvolvimento de relatórios, seja importação ou exportação de dados </t>
    </r>
    <r>
      <rPr>
        <sz val="11"/>
        <color theme="1"/>
        <rFont val="Calibri"/>
        <charset val="134"/>
      </rPr>
      <t>que não previstas em escopo</t>
    </r>
    <r>
      <rPr>
        <sz val="11"/>
        <color theme="1"/>
        <rFont val="Calibri"/>
        <charset val="1"/>
      </rPr>
      <t xml:space="preserve">;
• Desenvolvimento de regras customizadas </t>
    </r>
    <r>
      <rPr>
        <sz val="11"/>
        <color theme="1"/>
        <rFont val="Calibri"/>
        <charset val="134"/>
      </rPr>
      <t>que não previstas em escopo</t>
    </r>
    <r>
      <rPr>
        <sz val="11"/>
        <color theme="1"/>
        <rFont val="Calibri"/>
        <charset val="1"/>
      </rPr>
      <t>;
• Atendimento presencial;
• Novos treinamentos;
• Qualquer outra customização não prevista em escopo;
• Qualquer liberação/desenvolvimento não mencionados no escopo;</t>
    </r>
  </si>
  <si>
    <t>Nº</t>
  </si>
  <si>
    <t>Modulo / Processo</t>
  </si>
  <si>
    <t>Escopo</t>
  </si>
  <si>
    <t>Horas Análise</t>
  </si>
  <si>
    <t>Horas Atividade</t>
  </si>
  <si>
    <t>Horas GP</t>
  </si>
  <si>
    <t>Horas Estimadas</t>
  </si>
  <si>
    <r>
      <t xml:space="preserve">
</t>
    </r>
    <r>
      <rPr>
        <b/>
        <sz val="11"/>
        <color theme="1"/>
        <rFont val="Calibri"/>
        <charset val="1"/>
      </rPr>
      <t xml:space="preserve">Envio do Local para a CloseCare </t>
    </r>
    <r>
      <rPr>
        <sz val="11"/>
        <color theme="1"/>
        <rFont val="Calibri"/>
        <charset val="1"/>
      </rPr>
      <t>- Realizar alteração na regra para enviar Código + Descrição. Atualmente está sendo enviado somente a descrição do local para a closecare.</t>
    </r>
    <r>
      <rPr>
        <b/>
        <sz val="11"/>
        <color theme="1"/>
        <rFont val="Calibri"/>
        <charset val="1"/>
      </rPr>
      <t xml:space="preserve">
</t>
    </r>
    <r>
      <rPr>
        <sz val="11"/>
        <color theme="1"/>
        <rFont val="Calibri"/>
        <charset val="1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</si>
</sst>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,##0.00_-;\-* #,##0.00_-;_-* &quot;-&quot;??_-;_-@_-"/>
    <numFmt numFmtId="177" formatCode="_-&quot;R$ &quot;* #,##0.00_-;&quot;-R$ &quot;* #,##0.00_-;_-&quot;R$ &quot;* \-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[h]:mm"/>
    <numFmt numFmtId="181" formatCode="_-* #,##0.00_-;\-* #,##0.00_-;_-* \-??_-;_-@_-"/>
  </numFmts>
  <fonts count="33">
    <font>
      <sz val="12"/>
      <color theme="1"/>
      <name val="Calibri"/>
      <charset val="1"/>
    </font>
    <font>
      <b/>
      <sz val="14"/>
      <color theme="0"/>
      <name val="Calibri"/>
      <charset val="1"/>
    </font>
    <font>
      <sz val="14"/>
      <color theme="1"/>
      <name val="Calibri"/>
      <charset val="1"/>
    </font>
    <font>
      <b/>
      <sz val="14"/>
      <color theme="1"/>
      <name val="Calibri"/>
      <charset val="1"/>
    </font>
    <font>
      <sz val="10"/>
      <color theme="1"/>
      <name val="Calibri"/>
      <charset val="1"/>
    </font>
    <font>
      <b/>
      <sz val="12"/>
      <color theme="1"/>
      <name val="Calibri"/>
      <charset val="1"/>
    </font>
    <font>
      <b/>
      <sz val="11"/>
      <color theme="1"/>
      <name val="Calibri"/>
      <charset val="1"/>
    </font>
    <font>
      <sz val="11"/>
      <color theme="1"/>
      <name val="Calibri"/>
      <charset val="1"/>
    </font>
    <font>
      <sz val="11"/>
      <color rgb="FF006100"/>
      <name val="Calibri"/>
      <charset val="1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1"/>
      <color theme="0"/>
      <name val="Calibri"/>
      <charset val="1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rgb="FF006100"/>
      <name val="Calibri"/>
      <charset val="1"/>
    </font>
  </fonts>
  <fills count="35">
    <fill>
      <patternFill patternType="none"/>
    </fill>
    <fill>
      <patternFill patternType="gray125"/>
    </fill>
    <fill>
      <patternFill patternType="solid">
        <fgColor theme="5"/>
        <bgColor rgb="FF008080"/>
      </patternFill>
    </fill>
    <fill>
      <patternFill patternType="solid">
        <fgColor rgb="FFC6EFCE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12" fillId="0" borderId="0" applyFont="0" applyFill="0" applyBorder="0" applyAlignment="0" applyProtection="0">
      <alignment vertical="center"/>
    </xf>
    <xf numFmtId="177" fontId="0" fillId="0" borderId="0" applyBorder="0" applyProtection="0"/>
    <xf numFmtId="9" fontId="0" fillId="0" borderId="0" applyBorder="0" applyProtection="0"/>
    <xf numFmtId="178" fontId="12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4" borderId="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22" fillId="6" borderId="8" applyNumberFormat="0" applyAlignment="0" applyProtection="0">
      <alignment vertical="center"/>
    </xf>
    <xf numFmtId="0" fontId="23" fillId="6" borderId="7" applyNumberFormat="0" applyAlignment="0" applyProtection="0">
      <alignment vertical="center"/>
    </xf>
    <xf numFmtId="0" fontId="24" fillId="7" borderId="9" applyNumberFormat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2" fillId="3" borderId="0" applyBorder="0" applyProtection="0"/>
    <xf numFmtId="0" fontId="0" fillId="0" borderId="0"/>
  </cellStyleXfs>
  <cellXfs count="5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177" fontId="1" fillId="2" borderId="0" xfId="2" applyFont="1" applyFill="1" applyBorder="1" applyAlignment="1" applyProtection="1">
      <alignment horizontal="center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 applyProtection="1">
      <alignment horizontal="left" vertical="center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180" fontId="2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/>
    </xf>
    <xf numFmtId="180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vertical="center"/>
    </xf>
    <xf numFmtId="180" fontId="3" fillId="0" borderId="0" xfId="0" applyNumberFormat="1" applyFont="1" applyAlignment="1" applyProtection="1">
      <alignment horizontal="left" vertical="center"/>
      <protection locked="0"/>
    </xf>
    <xf numFmtId="180" fontId="3" fillId="0" borderId="0" xfId="0" applyNumberFormat="1" applyFont="1" applyAlignment="1" applyProtection="1">
      <alignment horizontal="left" vertical="center"/>
      <protection hidden="1"/>
    </xf>
    <xf numFmtId="9" fontId="3" fillId="0" borderId="0" xfId="3" applyFont="1" applyBorder="1" applyAlignment="1" applyProtection="1">
      <alignment horizontal="left" vertical="center"/>
    </xf>
    <xf numFmtId="181" fontId="3" fillId="0" borderId="0" xfId="0" applyNumberFormat="1" applyFont="1" applyAlignment="1">
      <alignment vertical="center"/>
    </xf>
    <xf numFmtId="181" fontId="3" fillId="0" borderId="0" xfId="0" applyNumberFormat="1" applyFont="1" applyAlignment="1" applyProtection="1">
      <alignment horizontal="left" vertical="center"/>
      <protection locked="0"/>
    </xf>
    <xf numFmtId="0" fontId="0" fillId="0" borderId="0" xfId="0" applyAlignment="1">
      <alignment horizontal="right" vertical="center" wrapText="1"/>
    </xf>
    <xf numFmtId="180" fontId="5" fillId="0" borderId="0" xfId="0" applyNumberFormat="1" applyFont="1" applyAlignment="1" applyProtection="1">
      <alignment horizontal="center" vertical="center"/>
      <protection locked="0"/>
    </xf>
    <xf numFmtId="181" fontId="5" fillId="0" borderId="0" xfId="0" applyNumberFormat="1" applyFont="1" applyAlignment="1" applyProtection="1">
      <alignment horizontal="center"/>
      <protection locked="0"/>
    </xf>
    <xf numFmtId="181" fontId="5" fillId="0" borderId="0" xfId="0" applyNumberFormat="1" applyFont="1" applyAlignment="1" applyProtection="1">
      <alignment horizontal="left" vertical="center"/>
      <protection locked="0"/>
    </xf>
    <xf numFmtId="180" fontId="6" fillId="0" borderId="0" xfId="0" applyNumberFormat="1" applyFont="1" applyAlignment="1">
      <alignment horizontal="left" vertical="center" wrapText="1"/>
    </xf>
    <xf numFmtId="49" fontId="6" fillId="0" borderId="0" xfId="0" applyNumberFormat="1" applyFont="1" applyAlignment="1" applyProtection="1">
      <alignment horizontal="left" vertical="center" wrapText="1"/>
      <protection locked="0"/>
    </xf>
    <xf numFmtId="49" fontId="7" fillId="0" borderId="0" xfId="0" applyNumberFormat="1" applyFont="1" applyAlignment="1" applyProtection="1">
      <alignment horizontal="left" vertical="center" wrapText="1"/>
      <protection locked="0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/>
    <xf numFmtId="0" fontId="8" fillId="3" borderId="0" xfId="49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vertical="center" wrapText="1"/>
      <protection locked="0"/>
    </xf>
    <xf numFmtId="20" fontId="7" fillId="0" borderId="0" xfId="0" applyNumberFormat="1" applyFont="1" applyAlignment="1" applyProtection="1">
      <alignment horizontal="justify" vertical="center" wrapText="1"/>
      <protection locked="0"/>
    </xf>
    <xf numFmtId="180" fontId="7" fillId="0" borderId="0" xfId="0" applyNumberFormat="1" applyFont="1" applyAlignment="1" applyProtection="1">
      <alignment horizontal="justify" vertical="center" wrapText="1"/>
      <protection locked="0"/>
    </xf>
    <xf numFmtId="180" fontId="7" fillId="0" borderId="0" xfId="0" applyNumberFormat="1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justify" vertical="center" wrapText="1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0" fontId="9" fillId="0" borderId="0" xfId="50" applyFont="1" applyAlignment="1" applyProtection="1">
      <alignment horizontal="justify" vertical="center" wrapText="1"/>
      <protection locked="0"/>
    </xf>
    <xf numFmtId="35" fontId="10" fillId="0" borderId="0" xfId="50" applyNumberFormat="1" applyFont="1" applyAlignment="1" applyProtection="1">
      <alignment horizontal="justify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35" fontId="0" fillId="0" borderId="0" xfId="0" applyNumberFormat="1" applyAlignment="1" applyProtection="1">
      <alignment horizontal="left" vertical="center" wrapText="1"/>
      <protection locked="0"/>
    </xf>
    <xf numFmtId="0" fontId="0" fillId="0" borderId="0" xfId="0" applyAlignment="1">
      <alignment vertical="center" wrapText="1"/>
    </xf>
    <xf numFmtId="0" fontId="0" fillId="0" borderId="0" xfId="0" applyAlignment="1" applyProtection="1">
      <alignment horizontal="left" vertical="center"/>
      <protection locked="0"/>
    </xf>
    <xf numFmtId="35" fontId="0" fillId="0" borderId="0" xfId="0" applyNumberFormat="1" applyAlignment="1" applyProtection="1">
      <alignment horizontal="left" vertical="center"/>
      <protection locked="0"/>
    </xf>
    <xf numFmtId="35" fontId="0" fillId="0" borderId="0" xfId="0" applyNumberFormat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horizontal="center"/>
      <protection locked="0"/>
    </xf>
    <xf numFmtId="0" fontId="11" fillId="2" borderId="1" xfId="0" applyFont="1" applyFill="1" applyBorder="1" applyAlignment="1">
      <alignment horizontal="left"/>
    </xf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left"/>
    </xf>
    <xf numFmtId="0" fontId="0" fillId="0" borderId="1" xfId="0" applyBorder="1"/>
    <xf numFmtId="180" fontId="0" fillId="0" borderId="1" xfId="0" applyNumberFormat="1" applyBorder="1"/>
    <xf numFmtId="9" fontId="0" fillId="0" borderId="1" xfId="0" applyNumberFormat="1" applyBorder="1"/>
    <xf numFmtId="0" fontId="7" fillId="0" borderId="1" xfId="0" applyFont="1" applyBorder="1" applyAlignment="1">
      <alignment vertical="center" wrapText="1"/>
    </xf>
    <xf numFmtId="181" fontId="7" fillId="0" borderId="1" xfId="2" applyNumberFormat="1" applyFont="1" applyBorder="1" applyAlignment="1" applyProtection="1">
      <alignment vertical="center" wrapText="1"/>
    </xf>
    <xf numFmtId="0" fontId="0" fillId="0" borderId="3" xfId="0" applyBorder="1"/>
    <xf numFmtId="181" fontId="0" fillId="0" borderId="1" xfId="2" applyNumberFormat="1" applyBorder="1" applyProtection="1"/>
  </cellXfs>
  <cellStyles count="51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  <cellStyle name="Excel Built-in Good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100"/>
      <rgbColor rgb="00000080"/>
      <rgbColor rgb="00808000"/>
      <rgbColor rgb="00800080"/>
      <rgbColor rgb="00008267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6EFCE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3" displayName="Table13" ref="A36:H46" totalsRowShown="0">
  <autoFilter xmlns:etc="http://www.wps.cn/officeDocument/2017/etCustomData" ref="A36:H46" etc:filterBottomFollowUsedRange="0"/>
  <tableColumns count="8">
    <tableColumn id="1" name="Nº"/>
    <tableColumn id="2" name="Modulo / Processo"/>
    <tableColumn id="3" name="Recurso"/>
    <tableColumn id="4" name="Escopo"/>
    <tableColumn id="5" name="Horas Análise"/>
    <tableColumn id="6" name="Horas Atividade"/>
    <tableColumn id="7" name="Horas GP"/>
    <tableColumn id="8" name="Horas Estimada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senior">
  <a:themeElements>
    <a:clrScheme name="Custom 2">
      <a:dk1>
        <a:srgbClr val="000000"/>
      </a:dk1>
      <a:lt1>
        <a:srgbClr val="FFFFFF"/>
      </a:lt1>
      <a:dk2>
        <a:srgbClr val="434342"/>
      </a:dk2>
      <a:lt2>
        <a:srgbClr val="CDD7D9"/>
      </a:lt2>
      <a:accent1>
        <a:srgbClr val="797B7E"/>
      </a:accent1>
      <a:accent2>
        <a:srgbClr val="008267"/>
      </a:accent2>
      <a:accent3>
        <a:srgbClr val="EFB04E"/>
      </a:accent3>
      <a:accent4>
        <a:srgbClr val="6EBFC4"/>
      </a:accent4>
      <a:accent5>
        <a:srgbClr val="BC4941"/>
      </a:accent5>
      <a:accent6>
        <a:srgbClr val="506E94"/>
      </a:accent6>
      <a:hlink>
        <a:srgbClr val="008267"/>
      </a:hlink>
      <a:folHlink>
        <a:srgbClr val="00564C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7"/>
  <sheetViews>
    <sheetView showGridLines="0" zoomScale="80" zoomScaleNormal="80" workbookViewId="0">
      <selection activeCell="K20" sqref="K20"/>
    </sheetView>
  </sheetViews>
  <sheetFormatPr defaultColWidth="8.5" defaultRowHeight="15.75" customHeight="1"/>
  <cols>
    <col min="1" max="1" width="21.375" customWidth="1"/>
    <col min="3" max="3" width="9.875" customWidth="1"/>
    <col min="4" max="4" width="13.75" customWidth="1"/>
    <col min="6" max="6" width="20.375" customWidth="1"/>
    <col min="8" max="8" width="4.875" customWidth="1"/>
    <col min="9" max="9" width="21.875" customWidth="1"/>
    <col min="11" max="11" width="29.875" customWidth="1"/>
    <col min="13" max="13" width="29.875" customWidth="1"/>
    <col min="16" max="16" width="26" customWidth="1"/>
    <col min="18" max="18" width="22.125" customWidth="1"/>
  </cols>
  <sheetData>
    <row r="1" customHeight="1" spans="1:18">
      <c r="A1" s="45" t="s">
        <v>0</v>
      </c>
      <c r="C1" s="46" t="s">
        <v>1</v>
      </c>
      <c r="D1" s="46"/>
      <c r="F1" s="45" t="s">
        <v>2</v>
      </c>
      <c r="H1" s="47" t="s">
        <v>3</v>
      </c>
      <c r="I1" s="47"/>
      <c r="K1" s="45" t="s">
        <v>4</v>
      </c>
      <c r="M1" s="45" t="s">
        <v>5</v>
      </c>
      <c r="N1" s="45" t="s">
        <v>6</v>
      </c>
      <c r="P1" s="45" t="s">
        <v>7</v>
      </c>
      <c r="R1" s="48" t="s">
        <v>8</v>
      </c>
    </row>
    <row r="2" customHeight="1" spans="1:18">
      <c r="A2" s="49" t="s">
        <v>9</v>
      </c>
      <c r="C2" s="50">
        <v>0.125</v>
      </c>
      <c r="D2" s="51">
        <f>IF('Escopo Área de Serviços'!C8="Melhoria/Customização",0,0.1)</f>
        <v>0</v>
      </c>
      <c r="F2" s="49" t="s">
        <v>10</v>
      </c>
      <c r="H2" s="49" t="s">
        <v>11</v>
      </c>
      <c r="I2" s="49" t="s">
        <v>12</v>
      </c>
      <c r="K2" s="49" t="s">
        <v>13</v>
      </c>
      <c r="M2" s="52" t="s">
        <v>14</v>
      </c>
      <c r="N2" s="53">
        <v>230</v>
      </c>
      <c r="P2" s="49" t="s">
        <v>15</v>
      </c>
      <c r="R2" t="s">
        <v>16</v>
      </c>
    </row>
    <row r="3" customHeight="1" spans="1:18">
      <c r="A3" s="49" t="s">
        <v>17</v>
      </c>
      <c r="C3" s="50">
        <v>0.166666666666667</v>
      </c>
      <c r="D3" s="51">
        <v>0.1</v>
      </c>
      <c r="F3" s="49" t="s">
        <v>18</v>
      </c>
      <c r="H3" s="49" t="s">
        <v>19</v>
      </c>
      <c r="I3" s="49" t="s">
        <v>20</v>
      </c>
      <c r="K3" s="49" t="s">
        <v>21</v>
      </c>
      <c r="M3" s="52" t="s">
        <v>22</v>
      </c>
      <c r="N3" s="53">
        <v>240</v>
      </c>
      <c r="P3" s="49" t="s">
        <v>23</v>
      </c>
      <c r="R3" t="s">
        <v>24</v>
      </c>
    </row>
    <row r="4" customHeight="1" spans="1:18">
      <c r="C4" s="50">
        <v>41.625</v>
      </c>
      <c r="D4" s="51">
        <v>0.2</v>
      </c>
      <c r="F4" s="49" t="s">
        <v>25</v>
      </c>
      <c r="H4" s="49"/>
      <c r="I4" s="49"/>
      <c r="K4" s="49" t="s">
        <v>26</v>
      </c>
      <c r="M4" s="52" t="s">
        <v>27</v>
      </c>
      <c r="N4" s="53">
        <v>245</v>
      </c>
      <c r="P4" s="49" t="s">
        <v>28</v>
      </c>
      <c r="R4" t="s">
        <v>29</v>
      </c>
    </row>
    <row r="5" customHeight="1" spans="1:18">
      <c r="F5" s="49" t="s">
        <v>30</v>
      </c>
      <c r="H5" s="49"/>
      <c r="I5" s="49"/>
      <c r="K5" s="49" t="s">
        <v>31</v>
      </c>
      <c r="M5" s="52" t="s">
        <v>32</v>
      </c>
      <c r="N5" s="53">
        <v>280</v>
      </c>
      <c r="P5" s="49"/>
      <c r="R5" t="s">
        <v>33</v>
      </c>
    </row>
    <row r="6" customHeight="1" spans="1:18">
      <c r="F6" s="49" t="s">
        <v>34</v>
      </c>
      <c r="K6" s="49" t="s">
        <v>35</v>
      </c>
      <c r="M6" s="52" t="s">
        <v>36</v>
      </c>
      <c r="N6" s="53">
        <v>290</v>
      </c>
    </row>
    <row r="7" customHeight="1" spans="1:18">
      <c r="F7" s="54" t="s">
        <v>37</v>
      </c>
      <c r="K7" s="49" t="s">
        <v>38</v>
      </c>
      <c r="M7" s="49" t="s">
        <v>39</v>
      </c>
      <c r="N7" s="53">
        <v>230</v>
      </c>
    </row>
    <row r="8" customHeight="1" spans="1:18">
      <c r="K8" s="49" t="s">
        <v>40</v>
      </c>
      <c r="M8" s="49"/>
      <c r="N8" s="55"/>
    </row>
    <row r="9" customHeight="1" spans="1:18">
      <c r="K9" s="49" t="s">
        <v>41</v>
      </c>
      <c r="M9" s="49"/>
      <c r="N9" s="55"/>
    </row>
    <row r="10" customHeight="1" spans="1:18">
      <c r="K10" s="49" t="s">
        <v>42</v>
      </c>
      <c r="M10" s="49"/>
      <c r="N10" s="55"/>
    </row>
    <row r="11" customHeight="1" spans="1:18">
      <c r="K11" s="49" t="s">
        <v>43</v>
      </c>
      <c r="M11" s="49"/>
      <c r="N11" s="55"/>
    </row>
    <row r="12" customHeight="1" spans="1:18">
      <c r="K12" s="49" t="s">
        <v>44</v>
      </c>
      <c r="M12" s="49"/>
      <c r="N12" s="55"/>
    </row>
    <row r="13" customHeight="1" spans="1:18">
      <c r="K13" s="49" t="s">
        <v>45</v>
      </c>
      <c r="M13" s="49"/>
      <c r="N13" s="55"/>
    </row>
    <row r="14" customHeight="1" spans="1:18">
      <c r="K14" s="49" t="s">
        <v>46</v>
      </c>
      <c r="M14" s="49"/>
      <c r="N14" s="55"/>
    </row>
    <row r="15" customHeight="1" spans="1:18">
      <c r="K15" s="49" t="s">
        <v>47</v>
      </c>
      <c r="M15" s="49"/>
      <c r="N15" s="55"/>
    </row>
    <row r="16" customHeight="1" spans="1:18">
      <c r="K16" s="49" t="s">
        <v>48</v>
      </c>
      <c r="M16" s="49"/>
      <c r="N16" s="55"/>
    </row>
    <row r="17" customHeight="1" spans="11:14">
      <c r="K17" s="49" t="s">
        <v>49</v>
      </c>
      <c r="M17" s="49"/>
      <c r="N17" s="55"/>
    </row>
    <row r="18" customHeight="1" spans="11:14">
      <c r="K18" s="49" t="s">
        <v>50</v>
      </c>
      <c r="M18" s="49"/>
      <c r="N18" s="55"/>
    </row>
    <row r="19" customHeight="1" spans="11:14">
      <c r="K19" s="49" t="s">
        <v>51</v>
      </c>
      <c r="M19" s="49"/>
      <c r="N19" s="55"/>
    </row>
    <row r="20" customHeight="1" spans="11:14">
      <c r="K20" s="49" t="s">
        <v>52</v>
      </c>
      <c r="M20" s="49"/>
      <c r="N20" s="55"/>
    </row>
    <row r="21" customHeight="1" spans="11:14">
      <c r="K21" s="49" t="s">
        <v>53</v>
      </c>
      <c r="M21" s="49"/>
      <c r="N21" s="55"/>
    </row>
    <row r="22" customHeight="1" spans="11:14">
      <c r="K22" s="49" t="s">
        <v>54</v>
      </c>
      <c r="M22" s="49"/>
      <c r="N22" s="55"/>
    </row>
    <row r="23" customHeight="1" spans="11:14">
      <c r="K23" s="49" t="s">
        <v>55</v>
      </c>
    </row>
    <row r="24" customHeight="1" spans="11:14">
      <c r="K24" s="49" t="s">
        <v>56</v>
      </c>
    </row>
    <row r="25" customHeight="1" spans="11:14">
      <c r="K25" s="49" t="s">
        <v>57</v>
      </c>
    </row>
    <row r="26" customHeight="1" spans="11:14">
      <c r="K26" s="49" t="s">
        <v>58</v>
      </c>
    </row>
    <row r="27" customHeight="1" spans="11:14">
      <c r="K27" s="49" t="s">
        <v>59</v>
      </c>
    </row>
  </sheetData>
  <mergeCells count="2">
    <mergeCell ref="C1:D1"/>
    <mergeCell ref="H1:I1"/>
  </mergeCells>
  <pageMargins left="0.511805555555556" right="0.511805555555556" top="0.7875" bottom="0.7875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48576"/>
  <sheetViews>
    <sheetView showGridLines="0" tabSelected="1" zoomScale="80" zoomScaleNormal="80" topLeftCell="A34" workbookViewId="0">
      <selection activeCell="D37" sqref="D37"/>
    </sheetView>
  </sheetViews>
  <sheetFormatPr defaultColWidth="8.5" defaultRowHeight="15.75" customHeight="1" outlineLevelCol="7"/>
  <cols>
    <col min="1" max="1" width="5.625" style="1" customWidth="1"/>
    <col min="2" max="2" width="20.625" style="2" customWidth="1"/>
    <col min="3" max="3" width="26.75" style="2" customWidth="1"/>
    <col min="4" max="4" width="78.125" style="2" customWidth="1"/>
    <col min="5" max="8" width="14.625" style="2" customWidth="1"/>
    <col min="9" max="9" width="15.125" style="3" customWidth="1"/>
  </cols>
  <sheetData>
    <row r="1" ht="18" spans="1:8">
      <c r="A1" s="4" t="s">
        <v>60</v>
      </c>
      <c r="B1" s="4"/>
      <c r="C1" s="4"/>
      <c r="D1" s="4"/>
      <c r="E1" s="4"/>
      <c r="F1" s="4"/>
      <c r="G1" s="4"/>
      <c r="H1" s="4"/>
    </row>
    <row r="2" ht="18" spans="1:8">
      <c r="A2" s="5" t="s">
        <v>61</v>
      </c>
      <c r="B2" s="5"/>
      <c r="C2" s="6"/>
      <c r="D2" s="6"/>
      <c r="E2" s="6"/>
      <c r="F2" s="6"/>
      <c r="G2" s="6"/>
      <c r="H2" s="6"/>
    </row>
    <row r="3" ht="18" spans="1:8">
      <c r="A3" s="5" t="s">
        <v>62</v>
      </c>
      <c r="B3" s="5"/>
      <c r="C3" s="6" t="s">
        <v>63</v>
      </c>
      <c r="D3" s="6"/>
      <c r="E3" s="6"/>
      <c r="F3" s="6"/>
      <c r="G3" s="6"/>
      <c r="H3" s="6"/>
    </row>
    <row r="4" ht="18" spans="1:8">
      <c r="A4" s="5"/>
      <c r="B4" s="5" t="s">
        <v>64</v>
      </c>
      <c r="C4" s="6"/>
      <c r="D4" s="6"/>
      <c r="E4" s="6"/>
      <c r="F4" s="6"/>
      <c r="G4" s="6"/>
      <c r="H4" s="6"/>
    </row>
    <row r="5" ht="18.75" customHeight="1" spans="1:8">
      <c r="A5" s="5" t="s">
        <v>65</v>
      </c>
      <c r="B5" s="5"/>
      <c r="C5" s="7" t="s">
        <v>66</v>
      </c>
      <c r="D5" s="7"/>
      <c r="E5" s="7"/>
      <c r="F5" s="7"/>
      <c r="G5" s="7"/>
      <c r="H5" s="7"/>
    </row>
    <row r="6" ht="18.75" customHeight="1" spans="1:8">
      <c r="A6" s="8" t="s">
        <v>67</v>
      </c>
      <c r="B6" s="8"/>
      <c r="C6" s="7" t="s">
        <v>20</v>
      </c>
      <c r="D6" s="7"/>
      <c r="E6" s="7"/>
      <c r="F6" s="7"/>
      <c r="G6" s="7"/>
      <c r="H6" s="7"/>
    </row>
    <row r="7" ht="18" spans="1:8">
      <c r="A7" s="8" t="s">
        <v>68</v>
      </c>
      <c r="B7" s="8"/>
      <c r="C7" s="9" t="s">
        <v>23</v>
      </c>
      <c r="D7" s="10"/>
      <c r="E7" s="10"/>
      <c r="F7" s="10"/>
      <c r="G7" s="10"/>
      <c r="H7" s="11"/>
    </row>
    <row r="8" ht="18" spans="1:8">
      <c r="A8" s="8" t="s">
        <v>69</v>
      </c>
      <c r="B8" s="8"/>
      <c r="C8" s="12" t="s">
        <v>25</v>
      </c>
      <c r="D8" s="10"/>
      <c r="E8" s="10"/>
      <c r="F8" s="10"/>
      <c r="G8" s="10"/>
      <c r="H8" s="11"/>
    </row>
    <row r="9" ht="18" spans="1:8">
      <c r="A9" s="8" t="str">
        <f>"Horas Consultor: "</f>
        <v>Horas Consultor: </v>
      </c>
      <c r="B9" s="8"/>
      <c r="C9" s="13">
        <f>SUM(Table13[Horas Atividade])</f>
        <v>0.166666666666667</v>
      </c>
      <c r="D9" s="10"/>
      <c r="E9" s="10"/>
      <c r="F9" s="10"/>
      <c r="G9" s="10"/>
      <c r="H9" s="11"/>
    </row>
    <row r="10" ht="18" spans="1:8">
      <c r="A10" s="8"/>
      <c r="B10" s="8" t="s">
        <v>70</v>
      </c>
      <c r="C10" s="13">
        <f>SUM(Table13[Horas Análise])</f>
        <v>0</v>
      </c>
      <c r="D10" s="10"/>
      <c r="E10" s="10"/>
      <c r="F10" s="10"/>
      <c r="G10" s="10"/>
      <c r="H10" s="11"/>
    </row>
    <row r="11" ht="18" spans="1:8">
      <c r="A11" s="8" t="s">
        <v>71</v>
      </c>
      <c r="B11" s="8"/>
      <c r="C11" s="10" t="s">
        <v>9</v>
      </c>
      <c r="D11" s="10"/>
      <c r="E11" s="10"/>
      <c r="F11" s="10"/>
      <c r="G11" s="10"/>
      <c r="H11" s="11"/>
    </row>
    <row r="12" ht="18" spans="1:8">
      <c r="A12" s="8" t="s">
        <v>72</v>
      </c>
      <c r="B12" s="8"/>
      <c r="C12" s="14">
        <v>0.2</v>
      </c>
      <c r="D12" s="10"/>
      <c r="E12" s="10"/>
      <c r="F12" s="10"/>
      <c r="G12" s="10"/>
      <c r="H12" s="11"/>
    </row>
    <row r="13" ht="18" spans="1:8">
      <c r="A13" s="5" t="str">
        <f>"Horas Gerenciamento: "</f>
        <v>Horas Gerenciamento: </v>
      </c>
      <c r="B13" s="5"/>
      <c r="C13" s="10">
        <f>SUM(Table13[Horas GP])</f>
        <v>0</v>
      </c>
      <c r="D13" s="10"/>
      <c r="E13" s="10"/>
      <c r="F13" s="10"/>
      <c r="G13" s="10"/>
      <c r="H13" s="11"/>
    </row>
    <row r="14" ht="18" spans="1:8">
      <c r="A14" s="4" t="s">
        <v>73</v>
      </c>
      <c r="B14" s="4"/>
      <c r="C14" s="4"/>
      <c r="D14" s="4"/>
      <c r="E14" s="4"/>
      <c r="F14" s="4"/>
      <c r="G14" s="4"/>
      <c r="H14" s="4"/>
    </row>
    <row r="15" ht="18" spans="1:8">
      <c r="A15" s="5" t="s">
        <v>74</v>
      </c>
      <c r="B15" s="5"/>
      <c r="C15" s="10">
        <v>0</v>
      </c>
      <c r="D15" s="10"/>
      <c r="E15" s="10"/>
      <c r="F15" s="10"/>
      <c r="G15" s="10"/>
      <c r="H15" s="11"/>
    </row>
    <row r="16" ht="18" spans="1:8">
      <c r="A16" s="8" t="s">
        <v>71</v>
      </c>
      <c r="B16" s="8"/>
      <c r="C16" s="10" t="s">
        <v>17</v>
      </c>
      <c r="D16" s="10"/>
      <c r="E16" s="10"/>
      <c r="F16" s="10"/>
      <c r="G16" s="10"/>
      <c r="H16" s="11"/>
    </row>
    <row r="17" ht="18" spans="1:8">
      <c r="A17" s="5" t="s">
        <v>75</v>
      </c>
      <c r="B17" s="5"/>
      <c r="C17" s="10">
        <f>IF(C16="Sim",(ROUND((C15*$C$12)*24,0)/24),0)</f>
        <v>0</v>
      </c>
      <c r="D17" s="10"/>
      <c r="E17" s="10"/>
      <c r="F17" s="10"/>
      <c r="G17" s="10"/>
      <c r="H17" s="11"/>
    </row>
    <row r="18" ht="18" spans="1:8">
      <c r="A18" s="4" t="s">
        <v>76</v>
      </c>
      <c r="B18" s="4"/>
      <c r="C18" s="4"/>
      <c r="D18" s="4"/>
      <c r="E18" s="4"/>
      <c r="F18" s="4"/>
      <c r="G18" s="4"/>
      <c r="H18" s="4"/>
    </row>
    <row r="19" ht="18" spans="1:8">
      <c r="A19" s="5" t="s">
        <v>77</v>
      </c>
      <c r="B19" s="5"/>
      <c r="C19" s="10">
        <f>C9+C10+C13+C15+C17</f>
        <v>0.166666666666667</v>
      </c>
      <c r="D19" s="8"/>
      <c r="E19" s="8"/>
      <c r="F19" s="8"/>
      <c r="G19" s="8"/>
      <c r="H19" s="15"/>
    </row>
    <row r="20" ht="18" spans="1:8">
      <c r="A20" s="8" t="s">
        <v>78</v>
      </c>
      <c r="B20" s="8"/>
      <c r="C20" s="16">
        <f>SUM(H23:H28)</f>
        <v>980</v>
      </c>
      <c r="D20" s="15"/>
      <c r="E20" s="15"/>
      <c r="F20" s="15"/>
      <c r="G20" s="15"/>
      <c r="H20" s="15"/>
    </row>
    <row r="21" ht="18" spans="1:8">
      <c r="A21" s="8"/>
      <c r="B21" s="8" t="s">
        <v>79</v>
      </c>
      <c r="C21" s="16">
        <f t="array" ref="C21">SUMPRODUCT(($H$23:$H$28)*(($A$23:$A$28&lt;&gt;"Análise da Demanda")*($B$23:$B$28&lt;&gt;"Análise da Demanda")))</f>
        <v>980</v>
      </c>
      <c r="D21" s="15"/>
      <c r="E21" s="15"/>
      <c r="F21" s="15"/>
      <c r="G21" s="15"/>
      <c r="H21" s="15"/>
    </row>
    <row r="22" ht="18" spans="1:8">
      <c r="A22" s="4" t="s">
        <v>5</v>
      </c>
      <c r="B22" s="4"/>
      <c r="C22" s="4" t="s">
        <v>80</v>
      </c>
      <c r="D22" s="4" t="s">
        <v>6</v>
      </c>
      <c r="E22" s="4"/>
      <c r="F22" s="4"/>
      <c r="G22" s="4"/>
      <c r="H22" s="4" t="s">
        <v>81</v>
      </c>
    </row>
    <row r="23" customHeight="1" spans="1:8">
      <c r="A23" s="17" t="s">
        <v>14</v>
      </c>
      <c r="B23" s="17"/>
      <c r="C23" s="18">
        <f>SUMIF($C$37:$C$46,A23,$F$37:$F$46)</f>
        <v>0</v>
      </c>
      <c r="D23" s="19">
        <f>VLOOKUP(A23,Definições!M:N,2,0)</f>
        <v>230</v>
      </c>
      <c r="E23" s="19"/>
      <c r="F23" s="19"/>
      <c r="G23" s="19"/>
      <c r="H23" s="20">
        <f t="shared" ref="H23:H29" si="0">(C23*24)*D23</f>
        <v>0</v>
      </c>
    </row>
    <row r="24" customHeight="1" spans="1:8">
      <c r="A24" s="17" t="s">
        <v>22</v>
      </c>
      <c r="B24" s="17"/>
      <c r="C24" s="18">
        <f>SUM(G37:G44)</f>
        <v>0</v>
      </c>
      <c r="D24" s="19">
        <f>VLOOKUP(A24,Definições!M:N,2,0)</f>
        <v>240</v>
      </c>
      <c r="E24" s="19"/>
      <c r="F24" s="19"/>
      <c r="G24" s="19"/>
      <c r="H24" s="20">
        <f t="shared" si="0"/>
        <v>0</v>
      </c>
    </row>
    <row r="25" customHeight="1" spans="1:8">
      <c r="A25" s="17" t="s">
        <v>27</v>
      </c>
      <c r="B25" s="17"/>
      <c r="C25" s="18">
        <f>SUMIF($C$37:$C$46,A25,$F$37:$F$46)</f>
        <v>0.166666666666667</v>
      </c>
      <c r="D25" s="19">
        <f>VLOOKUP(A25,Definições!M:N,2,0)</f>
        <v>245</v>
      </c>
      <c r="E25" s="19"/>
      <c r="F25" s="19"/>
      <c r="G25" s="19"/>
      <c r="H25" s="20">
        <f t="shared" si="0"/>
        <v>980</v>
      </c>
    </row>
    <row r="26" customHeight="1" spans="1:8">
      <c r="A26" s="17" t="s">
        <v>32</v>
      </c>
      <c r="B26" s="17"/>
      <c r="C26" s="18">
        <f>SUMIF($C$37:$C$46,A26,$F$37:$F$46)</f>
        <v>0</v>
      </c>
      <c r="D26" s="19">
        <f>VLOOKUP(A26,Definições!M:N,2,0)</f>
        <v>280</v>
      </c>
      <c r="E26" s="19"/>
      <c r="F26" s="19"/>
      <c r="G26" s="19"/>
      <c r="H26" s="20">
        <f t="shared" si="0"/>
        <v>0</v>
      </c>
    </row>
    <row r="27" customHeight="1" spans="1:8">
      <c r="A27" s="17" t="s">
        <v>36</v>
      </c>
      <c r="B27" s="17"/>
      <c r="C27" s="18">
        <f>SUMIF($C$37:$C$46,A27,$F$37:$F$46)</f>
        <v>0</v>
      </c>
      <c r="D27" s="19">
        <f>VLOOKUP(A27,Definições!M:N,2,0)</f>
        <v>290</v>
      </c>
      <c r="E27" s="19"/>
      <c r="F27" s="19"/>
      <c r="G27" s="19"/>
      <c r="H27" s="20">
        <f t="shared" si="0"/>
        <v>0</v>
      </c>
    </row>
    <row r="28" customHeight="1" spans="1:8">
      <c r="A28" s="17" t="s">
        <v>39</v>
      </c>
      <c r="B28" s="17"/>
      <c r="C28" s="18">
        <f>C10</f>
        <v>0</v>
      </c>
      <c r="D28" s="19">
        <f>VLOOKUP(A28,Definições!M:N,2,0)</f>
        <v>230</v>
      </c>
      <c r="E28" s="19"/>
      <c r="F28" s="19"/>
      <c r="G28" s="19"/>
      <c r="H28" s="20">
        <f t="shared" si="0"/>
        <v>0</v>
      </c>
    </row>
    <row r="29" customHeight="1" spans="1:8">
      <c r="A29" s="17" t="s">
        <v>73</v>
      </c>
      <c r="B29" s="17"/>
      <c r="C29" s="18">
        <f>C15</f>
        <v>0</v>
      </c>
      <c r="D29" s="19">
        <v>230</v>
      </c>
      <c r="E29" s="19"/>
      <c r="F29" s="19"/>
      <c r="G29" s="19"/>
      <c r="H29" s="20">
        <f t="shared" si="0"/>
        <v>0</v>
      </c>
    </row>
    <row r="30" ht="18" spans="1:8">
      <c r="A30" s="4" t="s">
        <v>82</v>
      </c>
      <c r="B30" s="4"/>
      <c r="C30" s="4"/>
      <c r="D30" s="4"/>
      <c r="E30" s="4"/>
      <c r="F30" s="4"/>
      <c r="G30" s="4"/>
      <c r="H30" s="4"/>
    </row>
    <row r="31" ht="84" customHeight="1" spans="1:8">
      <c r="A31" s="21" t="s">
        <v>83</v>
      </c>
      <c r="B31" s="21"/>
      <c r="C31" s="21"/>
      <c r="D31" s="21"/>
      <c r="E31" s="21"/>
      <c r="F31" s="21"/>
      <c r="G31" s="21"/>
      <c r="H31" s="21"/>
    </row>
    <row r="32" ht="18" spans="1:8">
      <c r="A32" s="4" t="s">
        <v>84</v>
      </c>
      <c r="B32" s="4"/>
      <c r="C32" s="4"/>
      <c r="D32" s="4"/>
      <c r="E32" s="4"/>
      <c r="F32" s="4"/>
      <c r="G32" s="4"/>
      <c r="H32" s="4"/>
    </row>
    <row r="33" ht="105.75" customHeight="1" spans="1:8">
      <c r="A33" s="22" t="s">
        <v>85</v>
      </c>
      <c r="B33" s="22"/>
      <c r="C33" s="22"/>
      <c r="D33" s="22"/>
      <c r="E33" s="22"/>
      <c r="F33" s="22"/>
      <c r="G33" s="22"/>
      <c r="H33" s="22"/>
    </row>
    <row r="34" ht="18" spans="1:8">
      <c r="A34" s="4" t="s">
        <v>86</v>
      </c>
      <c r="B34" s="4"/>
      <c r="C34" s="4"/>
      <c r="D34" s="4"/>
      <c r="E34" s="4"/>
      <c r="F34" s="4"/>
      <c r="G34" s="4"/>
      <c r="H34" s="4"/>
    </row>
    <row r="35" ht="184.5" customHeight="1" spans="1:8">
      <c r="A35" s="23" t="s">
        <v>87</v>
      </c>
      <c r="B35" s="23"/>
      <c r="C35" s="23"/>
      <c r="D35" s="23"/>
      <c r="E35" s="23"/>
      <c r="F35" s="23"/>
      <c r="G35" s="23"/>
      <c r="H35" s="23"/>
    </row>
    <row r="36" spans="1:8">
      <c r="A36" s="24" t="s">
        <v>88</v>
      </c>
      <c r="B36" s="25" t="s">
        <v>89</v>
      </c>
      <c r="C36" s="25" t="s">
        <v>5</v>
      </c>
      <c r="D36" s="26" t="s">
        <v>90</v>
      </c>
      <c r="E36" s="25" t="s">
        <v>91</v>
      </c>
      <c r="F36" s="25" t="s">
        <v>92</v>
      </c>
      <c r="G36" s="25" t="s">
        <v>93</v>
      </c>
      <c r="H36" s="25" t="s">
        <v>94</v>
      </c>
    </row>
    <row r="37" ht="139.5" customHeight="1" spans="1:8">
      <c r="A37" s="27">
        <v>1</v>
      </c>
      <c r="B37" s="28" t="s">
        <v>59</v>
      </c>
      <c r="C37" s="28" t="s">
        <v>27</v>
      </c>
      <c r="D37" s="29" t="s">
        <v>95</v>
      </c>
      <c r="E37" s="30"/>
      <c r="F37" s="31">
        <v>0.166666666666667</v>
      </c>
      <c r="G37" s="31"/>
      <c r="H37" s="32">
        <f>SUM(Table13[[#This Row],[Horas Análise]:[Horas GP]])</f>
        <v>0.166666666666667</v>
      </c>
    </row>
    <row r="38" ht="92.45" customHeight="1" spans="1:8">
      <c r="A38" s="27"/>
      <c r="B38" s="28"/>
      <c r="C38" s="28"/>
      <c r="D38" s="33"/>
      <c r="E38" s="30"/>
      <c r="F38" s="31"/>
      <c r="G38" s="31"/>
      <c r="H38" s="32"/>
    </row>
    <row r="39" ht="75.6" customHeight="1" spans="1:8">
      <c r="A39" s="27"/>
      <c r="B39" s="28"/>
      <c r="C39" s="28"/>
      <c r="D39" s="34"/>
      <c r="E39" s="30"/>
      <c r="F39" s="31"/>
      <c r="G39" s="31"/>
      <c r="H39" s="32"/>
    </row>
    <row r="40" ht="87" customHeight="1" spans="1:8">
      <c r="A40" s="27"/>
      <c r="B40" s="28"/>
      <c r="C40" s="28"/>
      <c r="D40" s="35"/>
      <c r="E40" s="35"/>
      <c r="F40" s="36"/>
      <c r="G40" s="31"/>
      <c r="H40" s="32"/>
    </row>
    <row r="41" ht="108.4" customHeight="1" spans="1:8">
      <c r="A41" s="27"/>
      <c r="B41" s="28"/>
      <c r="C41" s="28"/>
      <c r="D41" s="37"/>
      <c r="E41" s="37"/>
      <c r="F41" s="38"/>
      <c r="G41" s="31"/>
      <c r="H41" s="32"/>
    </row>
    <row r="42" ht="93.75" customHeight="1" spans="1:8">
      <c r="A42" s="27"/>
      <c r="B42" s="28"/>
      <c r="C42" s="28"/>
      <c r="D42" s="39"/>
      <c r="E42" s="40"/>
      <c r="F42" s="41"/>
      <c r="G42" s="31"/>
      <c r="H42" s="32"/>
    </row>
    <row r="43" ht="113.85" customHeight="1" spans="1:8">
      <c r="A43" s="27"/>
      <c r="B43" s="28"/>
      <c r="C43" s="28"/>
      <c r="D43" s="39"/>
      <c r="E43" s="40"/>
      <c r="F43" s="41"/>
      <c r="G43" s="31"/>
      <c r="H43" s="32"/>
    </row>
    <row r="44" ht="15.6" spans="1:8">
      <c r="A44" s="27"/>
      <c r="B44" s="28"/>
      <c r="C44" s="28"/>
      <c r="D44" s="3"/>
      <c r="E44" s="42"/>
      <c r="F44" s="42"/>
      <c r="G44" s="31"/>
      <c r="H44" s="32"/>
    </row>
    <row r="45" ht="15.6" spans="1:8">
      <c r="A45" s="27"/>
      <c r="B45" s="28"/>
      <c r="C45" s="28"/>
      <c r="D45" s="43"/>
      <c r="E45" s="43"/>
      <c r="F45" s="43"/>
      <c r="G45" s="31"/>
      <c r="H45" s="32"/>
    </row>
    <row r="46" ht="15.6" spans="1:8">
      <c r="A46" s="27"/>
      <c r="B46" s="28"/>
      <c r="C46" s="28"/>
      <c r="D46" s="43"/>
      <c r="E46" s="43"/>
      <c r="F46" s="43"/>
      <c r="G46" s="31"/>
      <c r="H46" s="32"/>
    </row>
    <row r="47" ht="15.6" spans="1:8">
      <c r="A47" s="44"/>
      <c r="B47" s="43"/>
      <c r="C47" s="28"/>
      <c r="D47" s="43"/>
      <c r="E47" s="43"/>
      <c r="F47" s="43"/>
      <c r="G47" s="43"/>
      <c r="H47" s="43"/>
    </row>
    <row r="48" ht="15.6" spans="1:8">
      <c r="A48" s="44"/>
      <c r="B48" s="43"/>
      <c r="C48" s="28"/>
      <c r="D48" s="43"/>
      <c r="E48" s="43"/>
      <c r="F48" s="43"/>
      <c r="G48" s="43"/>
      <c r="H48" s="43"/>
    </row>
    <row r="1048576" ht="12.75" customHeight="1"/>
  </sheetData>
  <mergeCells count="35">
    <mergeCell ref="A1:H1"/>
    <mergeCell ref="A2:B2"/>
    <mergeCell ref="C2:H2"/>
    <mergeCell ref="A3:B3"/>
    <mergeCell ref="C3:H3"/>
    <mergeCell ref="A5:B5"/>
    <mergeCell ref="C5:H5"/>
    <mergeCell ref="A6:B6"/>
    <mergeCell ref="A7:B7"/>
    <mergeCell ref="A8:B8"/>
    <mergeCell ref="A9:B9"/>
    <mergeCell ref="A11:B11"/>
    <mergeCell ref="A12:B12"/>
    <mergeCell ref="A13:B13"/>
    <mergeCell ref="A14:H14"/>
    <mergeCell ref="A15:B15"/>
    <mergeCell ref="A16:B16"/>
    <mergeCell ref="A17:B17"/>
    <mergeCell ref="A18:H18"/>
    <mergeCell ref="A19:B19"/>
    <mergeCell ref="A20:B20"/>
    <mergeCell ref="A22:B22"/>
    <mergeCell ref="A23:B23"/>
    <mergeCell ref="A24:B24"/>
    <mergeCell ref="A25:B25"/>
    <mergeCell ref="A26:B26"/>
    <mergeCell ref="A27:B27"/>
    <mergeCell ref="A28:B28"/>
    <mergeCell ref="A29:B29"/>
    <mergeCell ref="A30:H30"/>
    <mergeCell ref="A31:H31"/>
    <mergeCell ref="A32:H32"/>
    <mergeCell ref="A33:H33"/>
    <mergeCell ref="A34:H34"/>
    <mergeCell ref="A35:H35"/>
  </mergeCells>
  <dataValidations count="7">
    <dataValidation type="list" allowBlank="1" showInputMessage="1" showErrorMessage="1" promptTitle="Devs" prompt="Alexandre&#10;Márcio" sqref="C4">
      <formula1>"Alexandre Cruz,Márcio Morando"</formula1>
    </dataValidation>
    <dataValidation type="list" allowBlank="1" showInputMessage="1" showErrorMessage="1" sqref="C6">
      <formula1>Definições!$I$2:$I$3</formula1>
    </dataValidation>
    <dataValidation type="list" allowBlank="1" showInputMessage="1" showErrorMessage="1" sqref="C7">
      <formula1>Definições!$P$2:$P$4</formula1>
    </dataValidation>
    <dataValidation type="list" allowBlank="1" showInputMessage="1" showErrorMessage="1" sqref="C8">
      <formula1>Definições!$F$2:$F7</formula1>
    </dataValidation>
    <dataValidation type="list" allowBlank="1" showInputMessage="1" showErrorMessage="1" sqref="C11 C16">
      <formula1>"Sim,Não"</formula1>
    </dataValidation>
    <dataValidation type="list" allowBlank="1" showInputMessage="1" showErrorMessage="1" sqref="B37:B46">
      <formula1>Definições!$K$2:$K$27</formula1>
    </dataValidation>
    <dataValidation type="list" allowBlank="1" showInputMessage="1" showErrorMessage="1" sqref="C37:C46">
      <formula1>Definições!$M$2:$M$7</formula1>
    </dataValidation>
  </dataValidations>
  <pageMargins left="0.511805555555556" right="0.511805555555556" top="0.621527777777778" bottom="0.788194444444444" header="0.511811023622047" footer="0.315277777777778"/>
  <pageSetup paperSize="9" scale="65" orientation="landscape" horizontalDpi="300" verticalDpi="300"/>
  <headerFooter>
    <oddFooter>&amp;LDocumento: &amp;F&amp;RData: &amp;D   &amp;P de &amp;N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BD6FB8-3131-43EF-9C30-EB69A05CBCA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Definições</vt:lpstr>
      <vt:lpstr>Escopo Área de Serviços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Peres</dc:creator>
  <cp:lastModifiedBy>marcio.morando</cp:lastModifiedBy>
  <cp:revision>7</cp:revision>
  <dcterms:created xsi:type="dcterms:W3CDTF">2014-07-21T16:34:00Z</dcterms:created>
  <dcterms:modified xsi:type="dcterms:W3CDTF">2026-04-09T17:30:43Z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0x0101007490CF67105F75458CDD5B595089C75E</vt:lpwstr>
  </property>
  <property fmtid="{D5CDD505-2E9C-101B-9397-08002B2CF9AE}" pid="3" name="Processo">
    <vt:lpwstr/>
  </property>
  <property fmtid="{D5CDD505-2E9C-101B-9397-08002B2CF9AE}" pid="4" name="Tipo documento">
    <vt:lpwstr/>
  </property>
  <property fmtid="{D5CDD505-2E9C-101B-9397-08002B2CF9AE}" pid="5" name="Tipo_x0020_documento">
    <vt:lpwstr/>
  </property>
  <property fmtid="{D5CDD505-2E9C-101B-9397-08002B2CF9AE}" pid="6" name="ICV">
    <vt:lpwstr>B3BF3F2AEF6648BB9E3C500E34FB8219_13</vt:lpwstr>
  </property>
  <property fmtid="{D5CDD505-2E9C-101B-9397-08002B2CF9AE}" pid="7" name="KSOProductBuildVer">
    <vt:lpwstr>1046-12.1.0.25242</vt:lpwstr>
  </property>
  <property fmtid="{D5CDD505-2E9C-101B-9397-08002B2CF9AE}" pid="8" name="CalculationRule">
    <vt:i4>0</vt:i4>
  </property>
</Properties>
</file>